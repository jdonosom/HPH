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DESARROLLOS\Salud\tmp\HPH\documentos\"/>
    </mc:Choice>
  </mc:AlternateContent>
  <bookViews>
    <workbookView xWindow="-120" yWindow="-120" windowWidth="29040" windowHeight="15840"/>
  </bookViews>
  <sheets>
    <sheet name="Hoja1" sheetId="1" r:id="rId1"/>
    <sheet name="ValorHora" sheetId="2" r:id="rId2"/>
    <sheet name="Hoja3" sheetId="3" r:id="rId3"/>
    <sheet name="Hoja4" sheetId="4" r:id="rId4"/>
    <sheet name="Hoja5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2" i="1"/>
</calcChain>
</file>

<file path=xl/sharedStrings.xml><?xml version="1.0" encoding="utf-8"?>
<sst xmlns="http://schemas.openxmlformats.org/spreadsheetml/2006/main" count="215" uniqueCount="127">
  <si>
    <t>Tipo</t>
  </si>
  <si>
    <t>Monto</t>
  </si>
  <si>
    <t>Valor $ 20.000.-</t>
  </si>
  <si>
    <t>Médico</t>
  </si>
  <si>
    <t>Valor $ 22.000.-</t>
  </si>
  <si>
    <t>Valor $ 23.000.-</t>
  </si>
  <si>
    <t>Valor $ 28.000.-</t>
  </si>
  <si>
    <t>Valor $ 8.000.-</t>
  </si>
  <si>
    <t>Tens - Tons</t>
  </si>
  <si>
    <t>Valor $ 9.000.-</t>
  </si>
  <si>
    <t>Valor $ 13.000.-</t>
  </si>
  <si>
    <t>Enfermeras, Psicologos, Asist. Social etc</t>
  </si>
  <si>
    <t>Valor $ 15.000.-</t>
  </si>
  <si>
    <t>Valor $ 8.100.-</t>
  </si>
  <si>
    <t>Tens SAPU</t>
  </si>
  <si>
    <t>Valor $ 9.200.-</t>
  </si>
  <si>
    <t>Valor $ 18.000.-</t>
  </si>
  <si>
    <t>Auxiliar SAPU</t>
  </si>
  <si>
    <t>Médico - Med Dialisis</t>
  </si>
  <si>
    <t>Valor $ 6.500.-</t>
  </si>
  <si>
    <t>Administrativo</t>
  </si>
  <si>
    <t>Valor $ 7.500.-</t>
  </si>
  <si>
    <t>Valor $ 5.700.-</t>
  </si>
  <si>
    <t>Aux.Servicios</t>
  </si>
  <si>
    <t>Valor $ 7.200.-</t>
  </si>
  <si>
    <t>Valor $ 19.000.-</t>
  </si>
  <si>
    <t>Med Dialisis</t>
  </si>
  <si>
    <t>Valor $ 21.000.-</t>
  </si>
  <si>
    <t>Valor $ 12.100.-</t>
  </si>
  <si>
    <t>Enferm Dialisis</t>
  </si>
  <si>
    <t>Valor $ 15.500.-</t>
  </si>
  <si>
    <t>Valor $ 8.00.-</t>
  </si>
  <si>
    <t>Tens Dialisis</t>
  </si>
  <si>
    <t>Valor $ 10.00.-</t>
  </si>
  <si>
    <t>Valor $ 6.900.-</t>
  </si>
  <si>
    <t>Adm Dialisis</t>
  </si>
  <si>
    <t>Valor $ 15.200.-</t>
  </si>
  <si>
    <t>Valor $ 18.300.-</t>
  </si>
  <si>
    <t>Valor $ 5.600.-</t>
  </si>
  <si>
    <t>Tens SAPU 2025</t>
  </si>
  <si>
    <t>Valor $ 6.100.-</t>
  </si>
  <si>
    <t>Valor $ 13.200.-</t>
  </si>
  <si>
    <t>Profesional No Médico SAPU 2025</t>
  </si>
  <si>
    <t>Valor $ 15.300.-</t>
  </si>
  <si>
    <t>Valor $ 10.000.-</t>
  </si>
  <si>
    <t>Médico SAPU 50 %</t>
  </si>
  <si>
    <t>Médico SAPU 100 %</t>
  </si>
  <si>
    <t>Valor $ 11.000.-</t>
  </si>
  <si>
    <t>Profesional No Médico 2025</t>
  </si>
  <si>
    <t>Valor $ 5.500.-</t>
  </si>
  <si>
    <t>Tens - Tons 2025</t>
  </si>
  <si>
    <t>Valor $ 4.500.-</t>
  </si>
  <si>
    <t>Administrativo 2025</t>
  </si>
  <si>
    <t>Valor Dia Dialisis</t>
  </si>
  <si>
    <t>Chofer Dialisis</t>
  </si>
  <si>
    <t>Valor Noche Dialisis</t>
  </si>
  <si>
    <t>Valor $ 16.000.-</t>
  </si>
  <si>
    <t>Médico - Med Dialisis 2025</t>
  </si>
  <si>
    <t>Valor $ 17.000.-</t>
  </si>
  <si>
    <t>Médico 2025</t>
  </si>
  <si>
    <t>Valor $ 5.900.-</t>
  </si>
  <si>
    <t>Tens 2025</t>
  </si>
  <si>
    <t>Valor $ 3.700.-</t>
  </si>
  <si>
    <t>Aux.Servicios 2025</t>
  </si>
  <si>
    <t>Valor $ 4.200.-</t>
  </si>
  <si>
    <t>Valor $15.000.-</t>
  </si>
  <si>
    <t>Médico Dialisis Día 2025</t>
  </si>
  <si>
    <t>Valor $19.000.-</t>
  </si>
  <si>
    <t>Médico Dialisis Sab - Dom - Fest (Dr. Sossa) 2025</t>
  </si>
  <si>
    <t>Valor $21.000.-</t>
  </si>
  <si>
    <t>Médico Dialisis noche 2025</t>
  </si>
  <si>
    <t>Valor $ 5.000.-</t>
  </si>
  <si>
    <t>Periodo</t>
  </si>
  <si>
    <t>IdCargo</t>
  </si>
  <si>
    <t>Descripcion</t>
  </si>
  <si>
    <t>IdValorHora</t>
  </si>
  <si>
    <t>Enfermeras, Psicologos, Asist. Social etc - Valor : $13000</t>
  </si>
  <si>
    <t>Enfermeras, Psicologos, Asist. Social etc - Valor : $15200</t>
  </si>
  <si>
    <t>Enfermeras, Psicologos, Asist. Social etc - Valor : $15100</t>
  </si>
  <si>
    <t>Enfermeras, Psicologos, Asist. Social etc - Valor : $18300</t>
  </si>
  <si>
    <t>Administrativo - Valor : $6500</t>
  </si>
  <si>
    <t>Adm Dialisis - Valor : $6900</t>
  </si>
  <si>
    <t>Administrativo - Valor : $7500</t>
  </si>
  <si>
    <t>Adm Dialisis - Valor : $8000</t>
  </si>
  <si>
    <t>Administrativo 2025 - Valor : $4500</t>
  </si>
  <si>
    <t>Administrativo 2025 - Valor : $5000</t>
  </si>
  <si>
    <t>Aux.Servicios - Valor : $5700</t>
  </si>
  <si>
    <t>Aux.Servicios - Valor : $7200</t>
  </si>
  <si>
    <t>Aux.Servicios 2025 - Valor : $3700</t>
  </si>
  <si>
    <t>Aux.Servicios 2025 - Valor : $4200</t>
  </si>
  <si>
    <t>Enferm Dialisis - Valor : $12000</t>
  </si>
  <si>
    <t>Enferm Dialisis - Valor : $15500</t>
  </si>
  <si>
    <t>Médico - Valor : $20000</t>
  </si>
  <si>
    <t>Médico SAPU 50 % - Valor : $10000</t>
  </si>
  <si>
    <t>Médico - Valor : $22000</t>
  </si>
  <si>
    <t>Médico SAPU 100 % - Valor : $20000</t>
  </si>
  <si>
    <t>Médico - Valor : $23000</t>
  </si>
  <si>
    <t>Médico SAPU 100 % - Valor : $23000</t>
  </si>
  <si>
    <t>Médico - Valor : $28000</t>
  </si>
  <si>
    <t>Médico - Med Dialisis 2025 - Valor : $16000</t>
  </si>
  <si>
    <t>Médico 2025 - Valor : $17000</t>
  </si>
  <si>
    <t>Médico Dialisis Día 2025 - Valor : $17000</t>
  </si>
  <si>
    <t>Médico Dialisis Sab - Dom - Fest (Dr. Sossa) 2025 - Valor : $19000</t>
  </si>
  <si>
    <t>Médico Dialisis noche 2025 - Valor : $21000</t>
  </si>
  <si>
    <t>Médico SAPU 50 % - Valor : $22000</t>
  </si>
  <si>
    <t>Médico SAPU 100 % - Valor : $22000</t>
  </si>
  <si>
    <t>Tens Dialisis - Valor : $8000</t>
  </si>
  <si>
    <t>Tens SAPU 2025 - Valor : $5600</t>
  </si>
  <si>
    <t>Tens - Tons 2025 - Valor : $5500</t>
  </si>
  <si>
    <t>Tens Dialisis - Valor : $10000</t>
  </si>
  <si>
    <t>Tens SAPU 2025 - Valor : $6100</t>
  </si>
  <si>
    <t>Tens 2025 - Valor : $5900</t>
  </si>
  <si>
    <t>Tens - Tons - Valor : $8000</t>
  </si>
  <si>
    <t>Tens - Tons - Valor : $9000</t>
  </si>
  <si>
    <t>Tens SAPU - Valor : $8100</t>
  </si>
  <si>
    <t>Tens SAPU - Valor : $9200</t>
  </si>
  <si>
    <t>Auxiliar SAPU - Valor : $6000</t>
  </si>
  <si>
    <t>Médico - Med Dialisis - Valor : $18000</t>
  </si>
  <si>
    <t>Med Dialisis - Valor : $19000</t>
  </si>
  <si>
    <t>Med Dialisis - Valor : $22000</t>
  </si>
  <si>
    <t>Profesional No Médico SAPU 2025 - Valor : $13200</t>
  </si>
  <si>
    <t>Profesional No Médico 2025 - Valor : $11000</t>
  </si>
  <si>
    <t>Profesional No Médico SAPU 2025 - Valor : $15300</t>
  </si>
  <si>
    <t>Profesional No Médico 2025 - Valor : $12100</t>
  </si>
  <si>
    <t>Chofer Dialisis - Valor : $0</t>
  </si>
  <si>
    <t>Estado</t>
  </si>
  <si>
    <t>ValorHora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</si>
</sst>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2" formatCode="_ &quot;$&quot;\ * #,##0_ ;_ &quot;$&quot;\ * \-#,##0_ ;_ &quot;$&quot;\ * &quot;-&quot;_ ;_ @_ "/>
    <numFmt numFmtId="41" formatCode="_ * #,##0_ ;_ * \-#,##0_ ;_ * &quot;-&quot;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2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33">
    <xf numFmtId="0" fontId="0" fillId="0" borderId="0" xfId="0"/>
    <xf numFmtId="0" fontId="2" fillId="2" borderId="1" xfId="0" applyFont="1" applyFill="1" applyBorder="1" applyAlignment="1">
      <alignment horizontal="center"/>
    </xf>
    <xf numFmtId="42" fontId="2" fillId="2" borderId="1" xfId="1" applyFont="1" applyFill="1" applyBorder="1" applyAlignment="1">
      <alignment horizontal="center"/>
    </xf>
    <xf numFmtId="0" fontId="3" fillId="0" borderId="0" xfId="0" applyFont="1"/>
    <xf numFmtId="0" fontId="3" fillId="0" borderId="1" xfId="0" applyFont="1" applyBorder="1" applyAlignment="1">
      <alignment horizontal="center"/>
    </xf>
    <xf numFmtId="42" fontId="4" fillId="0" borderId="1" xfId="1" applyFont="1" applyFill="1" applyBorder="1" applyAlignment="1">
      <alignment horizontal="center" vertical="center"/>
    </xf>
    <xf numFmtId="42" fontId="3" fillId="0" borderId="2" xfId="1" applyFont="1" applyFill="1" applyBorder="1"/>
    <xf numFmtId="0" fontId="3" fillId="0" borderId="1" xfId="0" applyFont="1" applyBorder="1"/>
    <xf numFmtId="0" fontId="3" fillId="2" borderId="1" xfId="0" applyFont="1" applyFill="1" applyBorder="1" applyAlignment="1">
      <alignment horizontal="center"/>
    </xf>
    <xf numFmtId="42" fontId="4" fillId="2" borderId="1" xfId="1" applyFont="1" applyFill="1" applyBorder="1" applyAlignment="1">
      <alignment horizontal="center" vertical="center"/>
    </xf>
    <xf numFmtId="42" fontId="3" fillId="2" borderId="2" xfId="1" applyFont="1" applyFill="1" applyBorder="1"/>
    <xf numFmtId="0" fontId="3" fillId="2" borderId="1" xfId="0" applyFont="1" applyFill="1" applyBorder="1"/>
    <xf numFmtId="42" fontId="3" fillId="0" borderId="2" xfId="1" applyFont="1" applyBorder="1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42" fontId="2" fillId="3" borderId="2" xfId="1" applyFont="1" applyFill="1" applyBorder="1"/>
    <xf numFmtId="0" fontId="2" fillId="3" borderId="1" xfId="0" applyFont="1" applyFill="1" applyBorder="1"/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42" fontId="2" fillId="4" borderId="2" xfId="1" applyFont="1" applyFill="1" applyBorder="1"/>
    <xf numFmtId="0" fontId="2" fillId="4" borderId="1" xfId="0" applyFont="1" applyFill="1" applyBorder="1"/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42" fontId="2" fillId="5" borderId="2" xfId="1" applyFont="1" applyFill="1" applyBorder="1"/>
    <xf numFmtId="0" fontId="2" fillId="5" borderId="1" xfId="0" applyFont="1" applyFill="1" applyBorder="1"/>
    <xf numFmtId="0" fontId="3" fillId="0" borderId="0" xfId="0" applyFont="1" applyAlignment="1">
      <alignment horizontal="center"/>
    </xf>
    <xf numFmtId="42" fontId="3" fillId="0" borderId="0" xfId="1" applyFont="1"/>
    <xf numFmtId="1" fontId="3" fillId="0" borderId="2" xfId="1" applyNumberFormat="1" applyFont="1" applyBorder="1"/>
    <xf numFmtId="41" fontId="3" fillId="0" borderId="2" xfId="2" applyFont="1" applyBorder="1"/>
    <xf numFmtId="42" fontId="2" fillId="0" borderId="2" xfId="1" applyFont="1" applyBorder="1"/>
    <xf numFmtId="41" fontId="2" fillId="0" borderId="2" xfId="2" applyFont="1" applyBorder="1"/>
  </cellXfs>
  <cellStyles count="3">
    <cellStyle name="Millares [0]" xfId="2" builtinId="6"/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1"/>
  <sheetViews>
    <sheetView tabSelected="1" workbookViewId="0">
      <selection activeCell="F55" sqref="F55"/>
    </sheetView>
  </sheetViews>
  <sheetFormatPr baseColWidth="10" defaultColWidth="6.7109375" defaultRowHeight="11.25" x14ac:dyDescent="0.2"/>
  <cols>
    <col min="1" max="1" width="6.7109375" style="3"/>
    <col min="2" max="2" width="10.85546875" style="3" customWidth="1"/>
    <col min="3" max="3" width="9" style="27" bestFit="1" customWidth="1"/>
    <col min="4" max="4" width="14.140625" style="3" customWidth="1"/>
    <col min="5" max="5" width="13.140625" style="28" customWidth="1"/>
    <col min="6" max="6" width="32.5703125" style="3" bestFit="1" customWidth="1"/>
    <col min="7" max="7" width="9" style="3" bestFit="1" customWidth="1"/>
    <col min="8" max="8" width="32.5703125" style="3" customWidth="1"/>
    <col min="9" max="9" width="44.5703125" style="3" bestFit="1" customWidth="1"/>
    <col min="10" max="16384" width="6.7109375" style="3"/>
  </cols>
  <sheetData>
    <row r="1" spans="1:10" ht="12" customHeight="1" x14ac:dyDescent="0.2">
      <c r="A1" s="3" t="s">
        <v>72</v>
      </c>
      <c r="B1" s="3" t="s">
        <v>73</v>
      </c>
      <c r="C1" s="1" t="s">
        <v>75</v>
      </c>
      <c r="D1" s="1" t="s">
        <v>0</v>
      </c>
      <c r="E1" s="2" t="s">
        <v>1</v>
      </c>
      <c r="F1" s="1" t="s">
        <v>74</v>
      </c>
      <c r="G1" s="1" t="s">
        <v>75</v>
      </c>
      <c r="H1" s="1" t="s">
        <v>0</v>
      </c>
      <c r="I1" s="1" t="s">
        <v>0</v>
      </c>
      <c r="J1" s="3" t="s">
        <v>125</v>
      </c>
    </row>
    <row r="2" spans="1:10" ht="12" customHeight="1" x14ac:dyDescent="0.2">
      <c r="A2" s="3">
        <v>2025</v>
      </c>
      <c r="B2" s="3">
        <v>0</v>
      </c>
      <c r="C2" s="4">
        <v>1</v>
      </c>
      <c r="D2" s="5" t="s">
        <v>10</v>
      </c>
      <c r="E2" s="12">
        <v>13000</v>
      </c>
      <c r="F2" s="7" t="s">
        <v>11</v>
      </c>
      <c r="G2" s="4">
        <v>1</v>
      </c>
      <c r="H2" s="5" t="s">
        <v>10</v>
      </c>
      <c r="I2" s="3" t="str">
        <f>CONCATENATE(F2, " - Valor : $",E2)</f>
        <v>Enfermeras, Psicologos, Asist. Social etc - Valor : $13000</v>
      </c>
      <c r="J2" s="3">
        <v>1</v>
      </c>
    </row>
    <row r="3" spans="1:10" ht="12" customHeight="1" x14ac:dyDescent="0.2">
      <c r="A3" s="3">
        <v>2025</v>
      </c>
      <c r="B3" s="3">
        <v>0</v>
      </c>
      <c r="C3" s="4">
        <v>2</v>
      </c>
      <c r="D3" s="13" t="s">
        <v>36</v>
      </c>
      <c r="E3" s="12">
        <v>15200</v>
      </c>
      <c r="F3" s="7" t="s">
        <v>11</v>
      </c>
      <c r="G3" s="4">
        <v>2</v>
      </c>
      <c r="H3" s="13" t="s">
        <v>36</v>
      </c>
      <c r="I3" s="3" t="str">
        <f t="shared" ref="I3:I51" si="0">CONCATENATE(F3, " - Valor : $",E3)</f>
        <v>Enfermeras, Psicologos, Asist. Social etc - Valor : $15200</v>
      </c>
      <c r="J3" s="3">
        <v>1</v>
      </c>
    </row>
    <row r="4" spans="1:10" ht="12" customHeight="1" x14ac:dyDescent="0.2">
      <c r="A4" s="3">
        <v>2025</v>
      </c>
      <c r="B4" s="3">
        <v>0</v>
      </c>
      <c r="C4" s="8">
        <v>3</v>
      </c>
      <c r="D4" s="9" t="s">
        <v>12</v>
      </c>
      <c r="E4" s="10">
        <v>15100</v>
      </c>
      <c r="F4" s="11" t="s">
        <v>11</v>
      </c>
      <c r="G4" s="4">
        <v>3</v>
      </c>
      <c r="H4" s="9" t="s">
        <v>12</v>
      </c>
      <c r="I4" s="3" t="str">
        <f t="shared" si="0"/>
        <v>Enfermeras, Psicologos, Asist. Social etc - Valor : $15100</v>
      </c>
      <c r="J4" s="3">
        <v>1</v>
      </c>
    </row>
    <row r="5" spans="1:10" ht="12" customHeight="1" x14ac:dyDescent="0.2">
      <c r="A5" s="3">
        <v>2025</v>
      </c>
      <c r="B5" s="3">
        <v>0</v>
      </c>
      <c r="C5" s="8">
        <v>4</v>
      </c>
      <c r="D5" s="14" t="s">
        <v>37</v>
      </c>
      <c r="E5" s="10">
        <v>18300</v>
      </c>
      <c r="F5" s="11" t="s">
        <v>11</v>
      </c>
      <c r="G5" s="4">
        <v>4</v>
      </c>
      <c r="H5" s="14" t="s">
        <v>37</v>
      </c>
      <c r="I5" s="3" t="str">
        <f t="shared" si="0"/>
        <v>Enfermeras, Psicologos, Asist. Social etc - Valor : $18300</v>
      </c>
      <c r="J5" s="3">
        <v>1</v>
      </c>
    </row>
    <row r="6" spans="1:10" ht="12" customHeight="1" x14ac:dyDescent="0.2">
      <c r="A6" s="3">
        <v>2025</v>
      </c>
      <c r="B6" s="3">
        <v>1</v>
      </c>
      <c r="C6" s="4">
        <v>1</v>
      </c>
      <c r="D6" s="13" t="s">
        <v>19</v>
      </c>
      <c r="E6" s="12">
        <v>6500</v>
      </c>
      <c r="F6" s="7" t="s">
        <v>20</v>
      </c>
      <c r="G6" s="4">
        <v>5</v>
      </c>
      <c r="H6" s="13" t="s">
        <v>19</v>
      </c>
      <c r="I6" s="3" t="str">
        <f t="shared" si="0"/>
        <v>Administrativo - Valor : $6500</v>
      </c>
      <c r="J6" s="3">
        <v>1</v>
      </c>
    </row>
    <row r="7" spans="1:10" ht="12" customHeight="1" x14ac:dyDescent="0.2">
      <c r="A7" s="3">
        <v>2025</v>
      </c>
      <c r="B7" s="3">
        <v>1</v>
      </c>
      <c r="C7" s="4">
        <v>2</v>
      </c>
      <c r="D7" s="13" t="s">
        <v>34</v>
      </c>
      <c r="E7" s="12">
        <v>6900</v>
      </c>
      <c r="F7" s="7" t="s">
        <v>35</v>
      </c>
      <c r="G7" s="4">
        <v>6</v>
      </c>
      <c r="H7" s="13" t="s">
        <v>34</v>
      </c>
      <c r="I7" s="3" t="str">
        <f t="shared" si="0"/>
        <v>Adm Dialisis - Valor : $6900</v>
      </c>
      <c r="J7" s="3">
        <v>1</v>
      </c>
    </row>
    <row r="8" spans="1:10" ht="12" customHeight="1" x14ac:dyDescent="0.2">
      <c r="A8" s="3">
        <v>2025</v>
      </c>
      <c r="B8" s="3">
        <v>1</v>
      </c>
      <c r="C8" s="8">
        <v>3</v>
      </c>
      <c r="D8" s="14" t="s">
        <v>21</v>
      </c>
      <c r="E8" s="10">
        <v>7500</v>
      </c>
      <c r="F8" s="11" t="s">
        <v>20</v>
      </c>
      <c r="G8" s="4">
        <v>7</v>
      </c>
      <c r="H8" s="14" t="s">
        <v>21</v>
      </c>
      <c r="I8" s="3" t="str">
        <f t="shared" si="0"/>
        <v>Administrativo - Valor : $7500</v>
      </c>
      <c r="J8" s="3">
        <v>1</v>
      </c>
    </row>
    <row r="9" spans="1:10" ht="12" customHeight="1" x14ac:dyDescent="0.2">
      <c r="A9" s="3">
        <v>2025</v>
      </c>
      <c r="B9" s="3">
        <v>1</v>
      </c>
      <c r="C9" s="8">
        <v>4</v>
      </c>
      <c r="D9" s="14" t="s">
        <v>7</v>
      </c>
      <c r="E9" s="10">
        <v>8000</v>
      </c>
      <c r="F9" s="11" t="s">
        <v>35</v>
      </c>
      <c r="G9" s="4">
        <v>8</v>
      </c>
      <c r="H9" s="14" t="s">
        <v>7</v>
      </c>
      <c r="I9" s="3" t="str">
        <f t="shared" si="0"/>
        <v>Adm Dialisis - Valor : $8000</v>
      </c>
      <c r="J9" s="3">
        <v>1</v>
      </c>
    </row>
    <row r="10" spans="1:10" ht="12" customHeight="1" x14ac:dyDescent="0.2">
      <c r="A10" s="3">
        <v>2025</v>
      </c>
      <c r="B10" s="3">
        <v>1</v>
      </c>
      <c r="C10" s="15">
        <v>5</v>
      </c>
      <c r="D10" s="16" t="s">
        <v>51</v>
      </c>
      <c r="E10" s="17">
        <v>4500</v>
      </c>
      <c r="F10" s="18" t="s">
        <v>52</v>
      </c>
      <c r="G10" s="4">
        <v>9</v>
      </c>
      <c r="H10" s="16" t="s">
        <v>51</v>
      </c>
      <c r="I10" s="3" t="str">
        <f t="shared" si="0"/>
        <v>Administrativo 2025 - Valor : $4500</v>
      </c>
      <c r="J10" s="3">
        <v>1</v>
      </c>
    </row>
    <row r="11" spans="1:10" ht="12" customHeight="1" x14ac:dyDescent="0.2">
      <c r="A11" s="3">
        <v>2025</v>
      </c>
      <c r="B11" s="3">
        <v>1</v>
      </c>
      <c r="C11" s="15">
        <v>6</v>
      </c>
      <c r="D11" s="16" t="s">
        <v>71</v>
      </c>
      <c r="E11" s="17">
        <v>5000</v>
      </c>
      <c r="F11" s="18" t="s">
        <v>52</v>
      </c>
      <c r="G11" s="4">
        <v>10</v>
      </c>
      <c r="H11" s="16" t="s">
        <v>71</v>
      </c>
      <c r="I11" s="3" t="str">
        <f t="shared" si="0"/>
        <v>Administrativo 2025 - Valor : $5000</v>
      </c>
      <c r="J11" s="3">
        <v>1</v>
      </c>
    </row>
    <row r="12" spans="1:10" ht="12" customHeight="1" x14ac:dyDescent="0.2">
      <c r="A12" s="3">
        <v>2025</v>
      </c>
      <c r="B12" s="3">
        <v>7</v>
      </c>
      <c r="C12" s="4">
        <v>1</v>
      </c>
      <c r="D12" s="13" t="s">
        <v>22</v>
      </c>
      <c r="E12" s="12">
        <v>5700</v>
      </c>
      <c r="F12" s="7" t="s">
        <v>23</v>
      </c>
      <c r="G12" s="4">
        <v>11</v>
      </c>
      <c r="H12" s="13" t="s">
        <v>22</v>
      </c>
      <c r="I12" s="3" t="str">
        <f t="shared" si="0"/>
        <v>Aux.Servicios - Valor : $5700</v>
      </c>
      <c r="J12" s="3">
        <v>1</v>
      </c>
    </row>
    <row r="13" spans="1:10" ht="12" customHeight="1" x14ac:dyDescent="0.2">
      <c r="A13" s="3">
        <v>2025</v>
      </c>
      <c r="B13" s="3">
        <v>7</v>
      </c>
      <c r="C13" s="8">
        <v>2</v>
      </c>
      <c r="D13" s="14" t="s">
        <v>24</v>
      </c>
      <c r="E13" s="10">
        <v>7200</v>
      </c>
      <c r="F13" s="11" t="s">
        <v>23</v>
      </c>
      <c r="G13" s="4">
        <v>12</v>
      </c>
      <c r="H13" s="14" t="s">
        <v>24</v>
      </c>
      <c r="I13" s="3" t="str">
        <f t="shared" si="0"/>
        <v>Aux.Servicios - Valor : $7200</v>
      </c>
      <c r="J13" s="3">
        <v>1</v>
      </c>
    </row>
    <row r="14" spans="1:10" ht="12" customHeight="1" x14ac:dyDescent="0.2">
      <c r="A14" s="3">
        <v>2025</v>
      </c>
      <c r="B14" s="3">
        <v>7</v>
      </c>
      <c r="C14" s="15">
        <v>3</v>
      </c>
      <c r="D14" s="16" t="s">
        <v>62</v>
      </c>
      <c r="E14" s="17">
        <v>3700</v>
      </c>
      <c r="F14" s="18" t="s">
        <v>63</v>
      </c>
      <c r="G14" s="4">
        <v>13</v>
      </c>
      <c r="H14" s="16" t="s">
        <v>62</v>
      </c>
      <c r="I14" s="3" t="str">
        <f t="shared" si="0"/>
        <v>Aux.Servicios 2025 - Valor : $3700</v>
      </c>
      <c r="J14" s="3">
        <v>1</v>
      </c>
    </row>
    <row r="15" spans="1:10" ht="12" customHeight="1" x14ac:dyDescent="0.2">
      <c r="A15" s="3">
        <v>2025</v>
      </c>
      <c r="B15" s="3">
        <v>7</v>
      </c>
      <c r="C15" s="15">
        <v>4</v>
      </c>
      <c r="D15" s="16" t="s">
        <v>64</v>
      </c>
      <c r="E15" s="17">
        <v>4200</v>
      </c>
      <c r="F15" s="18" t="s">
        <v>63</v>
      </c>
      <c r="G15" s="4">
        <v>14</v>
      </c>
      <c r="H15" s="16" t="s">
        <v>64</v>
      </c>
      <c r="I15" s="3" t="str">
        <f t="shared" si="0"/>
        <v>Aux.Servicios 2025 - Valor : $4200</v>
      </c>
      <c r="J15" s="3">
        <v>1</v>
      </c>
    </row>
    <row r="16" spans="1:10" ht="12" customHeight="1" x14ac:dyDescent="0.2">
      <c r="A16" s="3">
        <v>2025</v>
      </c>
      <c r="B16" s="3">
        <v>12</v>
      </c>
      <c r="C16" s="4">
        <v>1</v>
      </c>
      <c r="D16" s="13" t="s">
        <v>28</v>
      </c>
      <c r="E16" s="12">
        <v>12000</v>
      </c>
      <c r="F16" s="7" t="s">
        <v>29</v>
      </c>
      <c r="G16" s="4">
        <v>15</v>
      </c>
      <c r="H16" s="13" t="s">
        <v>28</v>
      </c>
      <c r="I16" s="3" t="str">
        <f t="shared" si="0"/>
        <v>Enferm Dialisis - Valor : $12000</v>
      </c>
      <c r="J16" s="3">
        <v>1</v>
      </c>
    </row>
    <row r="17" spans="1:10" ht="12" customHeight="1" x14ac:dyDescent="0.2">
      <c r="A17" s="3">
        <v>2025</v>
      </c>
      <c r="B17" s="3">
        <v>12</v>
      </c>
      <c r="C17" s="8">
        <v>2</v>
      </c>
      <c r="D17" s="14" t="s">
        <v>30</v>
      </c>
      <c r="E17" s="10">
        <v>15500</v>
      </c>
      <c r="F17" s="11" t="s">
        <v>29</v>
      </c>
      <c r="G17" s="4">
        <v>16</v>
      </c>
      <c r="H17" s="14" t="s">
        <v>30</v>
      </c>
      <c r="I17" s="3" t="str">
        <f t="shared" si="0"/>
        <v>Enferm Dialisis - Valor : $15500</v>
      </c>
      <c r="J17" s="3">
        <v>1</v>
      </c>
    </row>
    <row r="18" spans="1:10" ht="12" customHeight="1" x14ac:dyDescent="0.2">
      <c r="A18" s="3">
        <v>2025</v>
      </c>
      <c r="B18" s="3">
        <v>14</v>
      </c>
      <c r="C18" s="4">
        <v>1</v>
      </c>
      <c r="D18" s="5" t="s">
        <v>2</v>
      </c>
      <c r="E18" s="6">
        <v>20000</v>
      </c>
      <c r="F18" s="7" t="s">
        <v>3</v>
      </c>
      <c r="G18" s="4">
        <v>17</v>
      </c>
      <c r="H18" s="5" t="s">
        <v>2</v>
      </c>
      <c r="I18" s="3" t="str">
        <f t="shared" si="0"/>
        <v>Médico - Valor : $20000</v>
      </c>
      <c r="J18" s="3">
        <v>1</v>
      </c>
    </row>
    <row r="19" spans="1:10" ht="12" customHeight="1" x14ac:dyDescent="0.2">
      <c r="A19" s="3">
        <v>2025</v>
      </c>
      <c r="B19" s="3">
        <v>14</v>
      </c>
      <c r="C19" s="19">
        <v>2</v>
      </c>
      <c r="D19" s="20" t="s">
        <v>44</v>
      </c>
      <c r="E19" s="21">
        <v>10000</v>
      </c>
      <c r="F19" s="22" t="s">
        <v>45</v>
      </c>
      <c r="G19" s="4">
        <v>18</v>
      </c>
      <c r="H19" s="20" t="s">
        <v>44</v>
      </c>
      <c r="I19" s="3" t="str">
        <f t="shared" si="0"/>
        <v>Médico SAPU 50 % - Valor : $10000</v>
      </c>
      <c r="J19" s="3">
        <v>1</v>
      </c>
    </row>
    <row r="20" spans="1:10" ht="12" customHeight="1" x14ac:dyDescent="0.2">
      <c r="A20" s="3">
        <v>2025</v>
      </c>
      <c r="B20" s="3">
        <v>14</v>
      </c>
      <c r="C20" s="8">
        <v>3</v>
      </c>
      <c r="D20" s="9" t="s">
        <v>4</v>
      </c>
      <c r="E20" s="10">
        <v>22000</v>
      </c>
      <c r="F20" s="11" t="s">
        <v>3</v>
      </c>
      <c r="G20" s="4">
        <v>19</v>
      </c>
      <c r="H20" s="9" t="s">
        <v>4</v>
      </c>
      <c r="I20" s="3" t="str">
        <f t="shared" si="0"/>
        <v>Médico - Valor : $22000</v>
      </c>
      <c r="J20" s="3">
        <v>1</v>
      </c>
    </row>
    <row r="21" spans="1:10" ht="12" customHeight="1" x14ac:dyDescent="0.2">
      <c r="A21" s="3">
        <v>2025</v>
      </c>
      <c r="B21" s="3">
        <v>14</v>
      </c>
      <c r="C21" s="19">
        <v>4</v>
      </c>
      <c r="D21" s="20" t="s">
        <v>2</v>
      </c>
      <c r="E21" s="21">
        <v>20000</v>
      </c>
      <c r="F21" s="22" t="s">
        <v>46</v>
      </c>
      <c r="G21" s="4">
        <v>20</v>
      </c>
      <c r="H21" s="20" t="s">
        <v>2</v>
      </c>
      <c r="I21" s="3" t="str">
        <f t="shared" si="0"/>
        <v>Médico SAPU 100 % - Valor : $20000</v>
      </c>
      <c r="J21" s="3">
        <v>1</v>
      </c>
    </row>
    <row r="22" spans="1:10" ht="12" customHeight="1" x14ac:dyDescent="0.2">
      <c r="A22" s="3">
        <v>2025</v>
      </c>
      <c r="B22" s="3">
        <v>14</v>
      </c>
      <c r="C22" s="4">
        <v>5</v>
      </c>
      <c r="D22" s="5" t="s">
        <v>5</v>
      </c>
      <c r="E22" s="6">
        <v>23000</v>
      </c>
      <c r="F22" s="7" t="s">
        <v>3</v>
      </c>
      <c r="G22" s="4">
        <v>21</v>
      </c>
      <c r="H22" s="5" t="s">
        <v>5</v>
      </c>
      <c r="I22" s="3" t="str">
        <f t="shared" si="0"/>
        <v>Médico - Valor : $23000</v>
      </c>
      <c r="J22" s="3">
        <v>1</v>
      </c>
    </row>
    <row r="23" spans="1:10" ht="12" customHeight="1" x14ac:dyDescent="0.2">
      <c r="A23" s="3">
        <v>2025</v>
      </c>
      <c r="B23" s="3">
        <v>14</v>
      </c>
      <c r="C23" s="19">
        <v>6</v>
      </c>
      <c r="D23" s="20" t="s">
        <v>5</v>
      </c>
      <c r="E23" s="21">
        <v>23000</v>
      </c>
      <c r="F23" s="22" t="s">
        <v>46</v>
      </c>
      <c r="G23" s="4">
        <v>22</v>
      </c>
      <c r="H23" s="20" t="s">
        <v>5</v>
      </c>
      <c r="I23" s="3" t="str">
        <f t="shared" si="0"/>
        <v>Médico SAPU 100 % - Valor : $23000</v>
      </c>
      <c r="J23" s="3">
        <v>1</v>
      </c>
    </row>
    <row r="24" spans="1:10" ht="12" customHeight="1" x14ac:dyDescent="0.2">
      <c r="A24" s="3">
        <v>2025</v>
      </c>
      <c r="B24" s="3">
        <v>14</v>
      </c>
      <c r="C24" s="8">
        <v>7</v>
      </c>
      <c r="D24" s="9" t="s">
        <v>6</v>
      </c>
      <c r="E24" s="10">
        <v>28000</v>
      </c>
      <c r="F24" s="11" t="s">
        <v>3</v>
      </c>
      <c r="G24" s="4">
        <v>23</v>
      </c>
      <c r="H24" s="9" t="s">
        <v>6</v>
      </c>
      <c r="I24" s="3" t="str">
        <f t="shared" si="0"/>
        <v>Médico - Valor : $28000</v>
      </c>
      <c r="J24" s="3">
        <v>1</v>
      </c>
    </row>
    <row r="25" spans="1:10" ht="12" customHeight="1" x14ac:dyDescent="0.2">
      <c r="A25" s="3">
        <v>2025</v>
      </c>
      <c r="B25" s="3">
        <v>14</v>
      </c>
      <c r="C25" s="15">
        <v>8</v>
      </c>
      <c r="D25" s="16" t="s">
        <v>56</v>
      </c>
      <c r="E25" s="17">
        <v>16000</v>
      </c>
      <c r="F25" s="18" t="s">
        <v>57</v>
      </c>
      <c r="G25" s="4">
        <v>24</v>
      </c>
      <c r="H25" s="16" t="s">
        <v>56</v>
      </c>
      <c r="I25" s="3" t="str">
        <f t="shared" si="0"/>
        <v>Médico - Med Dialisis 2025 - Valor : $16000</v>
      </c>
      <c r="J25" s="3">
        <v>1</v>
      </c>
    </row>
    <row r="26" spans="1:10" ht="12" customHeight="1" x14ac:dyDescent="0.2">
      <c r="A26" s="3">
        <v>2025</v>
      </c>
      <c r="B26" s="3">
        <v>14</v>
      </c>
      <c r="C26" s="15">
        <v>9</v>
      </c>
      <c r="D26" s="16" t="s">
        <v>58</v>
      </c>
      <c r="E26" s="17">
        <v>17000</v>
      </c>
      <c r="F26" s="18" t="s">
        <v>59</v>
      </c>
      <c r="G26" s="4">
        <v>25</v>
      </c>
      <c r="H26" s="16" t="s">
        <v>58</v>
      </c>
      <c r="I26" s="3" t="str">
        <f t="shared" si="0"/>
        <v>Médico 2025 - Valor : $17000</v>
      </c>
      <c r="J26" s="3">
        <v>1</v>
      </c>
    </row>
    <row r="27" spans="1:10" ht="12" customHeight="1" x14ac:dyDescent="0.2">
      <c r="A27" s="3">
        <v>2025</v>
      </c>
      <c r="B27" s="3">
        <v>14</v>
      </c>
      <c r="C27" s="23">
        <v>10</v>
      </c>
      <c r="D27" s="24" t="s">
        <v>65</v>
      </c>
      <c r="E27" s="25">
        <v>17000</v>
      </c>
      <c r="F27" s="26" t="s">
        <v>66</v>
      </c>
      <c r="G27" s="4">
        <v>26</v>
      </c>
      <c r="H27" s="24" t="s">
        <v>65</v>
      </c>
      <c r="I27" s="3" t="str">
        <f t="shared" si="0"/>
        <v>Médico Dialisis Día 2025 - Valor : $17000</v>
      </c>
      <c r="J27" s="3">
        <v>1</v>
      </c>
    </row>
    <row r="28" spans="1:10" ht="12" customHeight="1" x14ac:dyDescent="0.2">
      <c r="A28" s="3">
        <v>2025</v>
      </c>
      <c r="B28" s="3">
        <v>14</v>
      </c>
      <c r="C28" s="23">
        <v>11</v>
      </c>
      <c r="D28" s="24" t="s">
        <v>67</v>
      </c>
      <c r="E28" s="25">
        <v>19000</v>
      </c>
      <c r="F28" s="26" t="s">
        <v>68</v>
      </c>
      <c r="G28" s="4">
        <v>27</v>
      </c>
      <c r="H28" s="24" t="s">
        <v>67</v>
      </c>
      <c r="I28" s="3" t="str">
        <f t="shared" si="0"/>
        <v>Médico Dialisis Sab - Dom - Fest (Dr. Sossa) 2025 - Valor : $19000</v>
      </c>
      <c r="J28" s="3">
        <v>1</v>
      </c>
    </row>
    <row r="29" spans="1:10" ht="12" customHeight="1" x14ac:dyDescent="0.2">
      <c r="A29" s="3">
        <v>2025</v>
      </c>
      <c r="B29" s="3">
        <v>14</v>
      </c>
      <c r="C29" s="23">
        <v>12</v>
      </c>
      <c r="D29" s="24" t="s">
        <v>69</v>
      </c>
      <c r="E29" s="25">
        <v>21000</v>
      </c>
      <c r="F29" s="26" t="s">
        <v>70</v>
      </c>
      <c r="G29" s="4">
        <v>28</v>
      </c>
      <c r="H29" s="24" t="s">
        <v>69</v>
      </c>
      <c r="I29" s="3" t="str">
        <f t="shared" si="0"/>
        <v>Médico Dialisis noche 2025 - Valor : $21000</v>
      </c>
      <c r="J29" s="3">
        <v>1</v>
      </c>
    </row>
    <row r="30" spans="1:10" ht="12" customHeight="1" x14ac:dyDescent="0.2">
      <c r="A30" s="3">
        <v>2025</v>
      </c>
      <c r="B30" s="3">
        <v>14</v>
      </c>
      <c r="C30" s="19">
        <v>13</v>
      </c>
      <c r="D30" s="20" t="s">
        <v>4</v>
      </c>
      <c r="E30" s="21">
        <v>22000</v>
      </c>
      <c r="F30" s="22" t="s">
        <v>45</v>
      </c>
      <c r="G30" s="4">
        <v>29</v>
      </c>
      <c r="H30" s="20" t="s">
        <v>4</v>
      </c>
      <c r="I30" s="3" t="str">
        <f t="shared" si="0"/>
        <v>Médico SAPU 50 % - Valor : $22000</v>
      </c>
      <c r="J30" s="3">
        <v>1</v>
      </c>
    </row>
    <row r="31" spans="1:10" ht="12" customHeight="1" x14ac:dyDescent="0.2">
      <c r="A31" s="3">
        <v>2025</v>
      </c>
      <c r="B31" s="3">
        <v>14</v>
      </c>
      <c r="C31" s="19">
        <v>14</v>
      </c>
      <c r="D31" s="20" t="s">
        <v>4</v>
      </c>
      <c r="E31" s="21">
        <v>22000</v>
      </c>
      <c r="F31" s="22" t="s">
        <v>46</v>
      </c>
      <c r="G31" s="4">
        <v>30</v>
      </c>
      <c r="H31" s="20" t="s">
        <v>4</v>
      </c>
      <c r="I31" s="3" t="str">
        <f t="shared" si="0"/>
        <v>Médico SAPU 100 % - Valor : $22000</v>
      </c>
      <c r="J31" s="3">
        <v>1</v>
      </c>
    </row>
    <row r="32" spans="1:10" ht="12" customHeight="1" x14ac:dyDescent="0.2">
      <c r="A32" s="3">
        <v>2025</v>
      </c>
      <c r="B32" s="3">
        <v>30</v>
      </c>
      <c r="C32" s="4">
        <v>1</v>
      </c>
      <c r="D32" s="13" t="s">
        <v>31</v>
      </c>
      <c r="E32" s="12">
        <v>8000</v>
      </c>
      <c r="F32" s="7" t="s">
        <v>32</v>
      </c>
      <c r="G32" s="4">
        <v>31</v>
      </c>
      <c r="H32" s="13" t="s">
        <v>31</v>
      </c>
      <c r="I32" s="3" t="str">
        <f t="shared" si="0"/>
        <v>Tens Dialisis - Valor : $8000</v>
      </c>
      <c r="J32" s="3">
        <v>1</v>
      </c>
    </row>
    <row r="33" spans="1:10" ht="12" customHeight="1" x14ac:dyDescent="0.2">
      <c r="A33" s="3">
        <v>2025</v>
      </c>
      <c r="B33" s="3">
        <v>30</v>
      </c>
      <c r="C33" s="15">
        <v>2</v>
      </c>
      <c r="D33" s="16" t="s">
        <v>38</v>
      </c>
      <c r="E33" s="17">
        <v>5600</v>
      </c>
      <c r="F33" s="18" t="s">
        <v>39</v>
      </c>
      <c r="G33" s="4">
        <v>32</v>
      </c>
      <c r="H33" s="16" t="s">
        <v>38</v>
      </c>
      <c r="I33" s="3" t="str">
        <f t="shared" si="0"/>
        <v>Tens SAPU 2025 - Valor : $5600</v>
      </c>
      <c r="J33" s="3">
        <v>1</v>
      </c>
    </row>
    <row r="34" spans="1:10" ht="12" customHeight="1" x14ac:dyDescent="0.2">
      <c r="A34" s="3">
        <v>2025</v>
      </c>
      <c r="B34" s="3">
        <v>30</v>
      </c>
      <c r="C34" s="15">
        <v>3</v>
      </c>
      <c r="D34" s="16" t="s">
        <v>49</v>
      </c>
      <c r="E34" s="17">
        <v>5500</v>
      </c>
      <c r="F34" s="18" t="s">
        <v>50</v>
      </c>
      <c r="G34" s="4">
        <v>33</v>
      </c>
      <c r="H34" s="16" t="s">
        <v>49</v>
      </c>
      <c r="I34" s="3" t="str">
        <f t="shared" si="0"/>
        <v>Tens - Tons 2025 - Valor : $5500</v>
      </c>
      <c r="J34" s="3">
        <v>1</v>
      </c>
    </row>
    <row r="35" spans="1:10" ht="12" customHeight="1" x14ac:dyDescent="0.2">
      <c r="A35" s="3">
        <v>2025</v>
      </c>
      <c r="B35" s="3">
        <v>30</v>
      </c>
      <c r="C35" s="8">
        <v>4</v>
      </c>
      <c r="D35" s="14" t="s">
        <v>33</v>
      </c>
      <c r="E35" s="10">
        <v>10000</v>
      </c>
      <c r="F35" s="11" t="s">
        <v>32</v>
      </c>
      <c r="G35" s="4">
        <v>34</v>
      </c>
      <c r="H35" s="14" t="s">
        <v>33</v>
      </c>
      <c r="I35" s="3" t="str">
        <f t="shared" si="0"/>
        <v>Tens Dialisis - Valor : $10000</v>
      </c>
      <c r="J35" s="3">
        <v>1</v>
      </c>
    </row>
    <row r="36" spans="1:10" ht="12" customHeight="1" x14ac:dyDescent="0.2">
      <c r="A36" s="3">
        <v>2025</v>
      </c>
      <c r="B36" s="3">
        <v>30</v>
      </c>
      <c r="C36" s="15">
        <v>5</v>
      </c>
      <c r="D36" s="16" t="s">
        <v>40</v>
      </c>
      <c r="E36" s="17">
        <v>6100</v>
      </c>
      <c r="F36" s="18" t="s">
        <v>39</v>
      </c>
      <c r="G36" s="4">
        <v>35</v>
      </c>
      <c r="H36" s="16" t="s">
        <v>40</v>
      </c>
      <c r="I36" s="3" t="str">
        <f t="shared" si="0"/>
        <v>Tens SAPU 2025 - Valor : $6100</v>
      </c>
      <c r="J36" s="3">
        <v>1</v>
      </c>
    </row>
    <row r="37" spans="1:10" ht="12" customHeight="1" x14ac:dyDescent="0.2">
      <c r="A37" s="3">
        <v>2025</v>
      </c>
      <c r="B37" s="3">
        <v>30</v>
      </c>
      <c r="C37" s="15">
        <v>6</v>
      </c>
      <c r="D37" s="16" t="s">
        <v>60</v>
      </c>
      <c r="E37" s="17">
        <v>5900</v>
      </c>
      <c r="F37" s="18" t="s">
        <v>61</v>
      </c>
      <c r="G37" s="4">
        <v>36</v>
      </c>
      <c r="H37" s="16" t="s">
        <v>60</v>
      </c>
      <c r="I37" s="3" t="str">
        <f t="shared" si="0"/>
        <v>Tens 2025 - Valor : $5900</v>
      </c>
      <c r="J37" s="3">
        <v>1</v>
      </c>
    </row>
    <row r="38" spans="1:10" ht="12" customHeight="1" x14ac:dyDescent="0.2">
      <c r="A38" s="3">
        <v>2025</v>
      </c>
      <c r="B38" s="3">
        <v>31</v>
      </c>
      <c r="C38" s="4">
        <v>1</v>
      </c>
      <c r="D38" s="5" t="s">
        <v>7</v>
      </c>
      <c r="E38" s="12">
        <v>8000</v>
      </c>
      <c r="F38" s="7" t="s">
        <v>8</v>
      </c>
      <c r="G38" s="4">
        <v>37</v>
      </c>
      <c r="H38" s="5" t="s">
        <v>7</v>
      </c>
      <c r="I38" s="3" t="str">
        <f t="shared" si="0"/>
        <v>Tens - Tons - Valor : $8000</v>
      </c>
      <c r="J38" s="3">
        <v>1</v>
      </c>
    </row>
    <row r="39" spans="1:10" ht="12" customHeight="1" x14ac:dyDescent="0.2">
      <c r="A39" s="3">
        <v>2025</v>
      </c>
      <c r="B39" s="3">
        <v>31</v>
      </c>
      <c r="C39" s="8">
        <v>2</v>
      </c>
      <c r="D39" s="9" t="s">
        <v>9</v>
      </c>
      <c r="E39" s="10">
        <v>9000</v>
      </c>
      <c r="F39" s="11" t="s">
        <v>8</v>
      </c>
      <c r="G39" s="4">
        <v>38</v>
      </c>
      <c r="H39" s="9" t="s">
        <v>9</v>
      </c>
      <c r="I39" s="3" t="str">
        <f t="shared" si="0"/>
        <v>Tens - Tons - Valor : $9000</v>
      </c>
      <c r="J39" s="3">
        <v>1</v>
      </c>
    </row>
    <row r="40" spans="1:10" ht="12" customHeight="1" x14ac:dyDescent="0.2">
      <c r="A40" s="3">
        <v>2025</v>
      </c>
      <c r="B40" s="3">
        <v>33</v>
      </c>
      <c r="C40" s="4">
        <v>1</v>
      </c>
      <c r="D40" s="5" t="s">
        <v>13</v>
      </c>
      <c r="E40" s="12">
        <v>8100</v>
      </c>
      <c r="F40" s="7" t="s">
        <v>14</v>
      </c>
      <c r="G40" s="4">
        <v>39</v>
      </c>
      <c r="H40" s="5" t="s">
        <v>13</v>
      </c>
      <c r="I40" s="3" t="str">
        <f t="shared" si="0"/>
        <v>Tens SAPU - Valor : $8100</v>
      </c>
      <c r="J40" s="3">
        <v>1</v>
      </c>
    </row>
    <row r="41" spans="1:10" ht="12" customHeight="1" x14ac:dyDescent="0.2">
      <c r="A41" s="3">
        <v>2025</v>
      </c>
      <c r="B41" s="3">
        <v>33</v>
      </c>
      <c r="C41" s="8">
        <v>2</v>
      </c>
      <c r="D41" s="9" t="s">
        <v>15</v>
      </c>
      <c r="E41" s="10">
        <v>9200</v>
      </c>
      <c r="F41" s="11" t="s">
        <v>14</v>
      </c>
      <c r="G41" s="4">
        <v>40</v>
      </c>
      <c r="H41" s="9" t="s">
        <v>15</v>
      </c>
      <c r="I41" s="3" t="str">
        <f t="shared" si="0"/>
        <v>Tens SAPU - Valor : $9200</v>
      </c>
      <c r="J41" s="3">
        <v>1</v>
      </c>
    </row>
    <row r="42" spans="1:10" ht="12" customHeight="1" x14ac:dyDescent="0.2">
      <c r="A42" s="3">
        <v>2025</v>
      </c>
      <c r="B42" s="3">
        <v>34</v>
      </c>
      <c r="C42" s="4">
        <v>1</v>
      </c>
      <c r="D42" s="5" t="s">
        <v>16</v>
      </c>
      <c r="E42" s="12">
        <v>6000</v>
      </c>
      <c r="F42" s="7" t="s">
        <v>17</v>
      </c>
      <c r="G42" s="4">
        <v>41</v>
      </c>
      <c r="H42" s="5" t="s">
        <v>16</v>
      </c>
      <c r="I42" s="3" t="str">
        <f t="shared" si="0"/>
        <v>Auxiliar SAPU - Valor : $6000</v>
      </c>
      <c r="J42" s="3">
        <v>1</v>
      </c>
    </row>
    <row r="43" spans="1:10" ht="12" customHeight="1" x14ac:dyDescent="0.2">
      <c r="A43" s="3">
        <v>2025</v>
      </c>
      <c r="B43" s="3">
        <v>35</v>
      </c>
      <c r="C43" s="8">
        <v>1</v>
      </c>
      <c r="D43" s="9" t="s">
        <v>16</v>
      </c>
      <c r="E43" s="10">
        <v>18000</v>
      </c>
      <c r="F43" s="11" t="s">
        <v>18</v>
      </c>
      <c r="G43" s="4">
        <v>42</v>
      </c>
      <c r="H43" s="9" t="s">
        <v>16</v>
      </c>
      <c r="I43" s="3" t="str">
        <f t="shared" si="0"/>
        <v>Médico - Med Dialisis - Valor : $18000</v>
      </c>
      <c r="J43" s="3">
        <v>1</v>
      </c>
    </row>
    <row r="44" spans="1:10" ht="12" customHeight="1" x14ac:dyDescent="0.2">
      <c r="A44" s="3">
        <v>2025</v>
      </c>
      <c r="B44" s="3">
        <v>35</v>
      </c>
      <c r="C44" s="4">
        <v>2</v>
      </c>
      <c r="D44" s="13" t="s">
        <v>25</v>
      </c>
      <c r="E44" s="12">
        <v>19000</v>
      </c>
      <c r="F44" s="7" t="s">
        <v>26</v>
      </c>
      <c r="G44" s="4">
        <v>43</v>
      </c>
      <c r="H44" s="13" t="s">
        <v>25</v>
      </c>
      <c r="I44" s="3" t="str">
        <f t="shared" si="0"/>
        <v>Med Dialisis - Valor : $19000</v>
      </c>
      <c r="J44" s="3">
        <v>1</v>
      </c>
    </row>
    <row r="45" spans="1:10" ht="12" customHeight="1" x14ac:dyDescent="0.2">
      <c r="A45" s="3">
        <v>2025</v>
      </c>
      <c r="B45" s="3">
        <v>35</v>
      </c>
      <c r="C45" s="8">
        <v>3</v>
      </c>
      <c r="D45" s="14" t="s">
        <v>27</v>
      </c>
      <c r="E45" s="10">
        <v>22000</v>
      </c>
      <c r="F45" s="11" t="s">
        <v>26</v>
      </c>
      <c r="G45" s="4">
        <v>44</v>
      </c>
      <c r="H45" s="14" t="s">
        <v>27</v>
      </c>
      <c r="I45" s="3" t="str">
        <f t="shared" si="0"/>
        <v>Med Dialisis - Valor : $22000</v>
      </c>
      <c r="J45" s="3">
        <v>1</v>
      </c>
    </row>
    <row r="46" spans="1:10" ht="12" customHeight="1" x14ac:dyDescent="0.2">
      <c r="A46" s="3">
        <v>2025</v>
      </c>
      <c r="B46" s="3">
        <v>36</v>
      </c>
      <c r="C46" s="15">
        <v>1</v>
      </c>
      <c r="D46" s="16" t="s">
        <v>41</v>
      </c>
      <c r="E46" s="17">
        <v>13200</v>
      </c>
      <c r="F46" s="18" t="s">
        <v>42</v>
      </c>
      <c r="G46" s="4">
        <v>45</v>
      </c>
      <c r="H46" s="16" t="s">
        <v>41</v>
      </c>
      <c r="I46" s="3" t="str">
        <f t="shared" si="0"/>
        <v>Profesional No Médico SAPU 2025 - Valor : $13200</v>
      </c>
      <c r="J46" s="3">
        <v>1</v>
      </c>
    </row>
    <row r="47" spans="1:10" ht="12" customHeight="1" x14ac:dyDescent="0.2">
      <c r="A47" s="3">
        <v>2025</v>
      </c>
      <c r="B47" s="3">
        <v>36</v>
      </c>
      <c r="C47" s="15">
        <v>2</v>
      </c>
      <c r="D47" s="16" t="s">
        <v>47</v>
      </c>
      <c r="E47" s="17">
        <v>11000</v>
      </c>
      <c r="F47" s="18" t="s">
        <v>48</v>
      </c>
      <c r="G47" s="4">
        <v>46</v>
      </c>
      <c r="H47" s="16" t="s">
        <v>47</v>
      </c>
      <c r="I47" s="3" t="str">
        <f t="shared" si="0"/>
        <v>Profesional No Médico 2025 - Valor : $11000</v>
      </c>
      <c r="J47" s="3">
        <v>1</v>
      </c>
    </row>
    <row r="48" spans="1:10" ht="12" customHeight="1" x14ac:dyDescent="0.2">
      <c r="A48" s="3">
        <v>2025</v>
      </c>
      <c r="B48" s="3">
        <v>36</v>
      </c>
      <c r="C48" s="15">
        <v>3</v>
      </c>
      <c r="D48" s="16" t="s">
        <v>43</v>
      </c>
      <c r="E48" s="17">
        <v>15300</v>
      </c>
      <c r="F48" s="18" t="s">
        <v>42</v>
      </c>
      <c r="G48" s="4">
        <v>47</v>
      </c>
      <c r="H48" s="16" t="s">
        <v>43</v>
      </c>
      <c r="I48" s="3" t="str">
        <f t="shared" si="0"/>
        <v>Profesional No Médico SAPU 2025 - Valor : $15300</v>
      </c>
      <c r="J48" s="3">
        <v>1</v>
      </c>
    </row>
    <row r="49" spans="1:10" ht="12" customHeight="1" x14ac:dyDescent="0.2">
      <c r="A49" s="3">
        <v>2025</v>
      </c>
      <c r="B49" s="3">
        <v>36</v>
      </c>
      <c r="C49" s="15">
        <v>4</v>
      </c>
      <c r="D49" s="16" t="s">
        <v>28</v>
      </c>
      <c r="E49" s="17">
        <v>12100</v>
      </c>
      <c r="F49" s="18" t="s">
        <v>48</v>
      </c>
      <c r="G49" s="4">
        <v>48</v>
      </c>
      <c r="H49" s="16" t="s">
        <v>28</v>
      </c>
      <c r="I49" s="3" t="str">
        <f t="shared" si="0"/>
        <v>Profesional No Médico 2025 - Valor : $12100</v>
      </c>
      <c r="J49" s="3">
        <v>1</v>
      </c>
    </row>
    <row r="50" spans="1:10" ht="12" customHeight="1" x14ac:dyDescent="0.2">
      <c r="A50" s="3">
        <v>2025</v>
      </c>
      <c r="C50" s="15">
        <v>37</v>
      </c>
      <c r="D50" s="16" t="s">
        <v>53</v>
      </c>
      <c r="E50" s="17">
        <v>0</v>
      </c>
      <c r="F50" s="18" t="s">
        <v>54</v>
      </c>
      <c r="G50" s="4">
        <v>49</v>
      </c>
      <c r="H50" s="16" t="s">
        <v>53</v>
      </c>
      <c r="I50" s="3" t="str">
        <f t="shared" si="0"/>
        <v>Chofer Dialisis - Valor : $0</v>
      </c>
      <c r="J50" s="3">
        <v>1</v>
      </c>
    </row>
    <row r="51" spans="1:10" ht="12" customHeight="1" x14ac:dyDescent="0.2">
      <c r="A51" s="3">
        <v>2025</v>
      </c>
      <c r="C51" s="15">
        <v>38</v>
      </c>
      <c r="D51" s="16" t="s">
        <v>55</v>
      </c>
      <c r="E51" s="17">
        <v>0</v>
      </c>
      <c r="F51" s="18" t="s">
        <v>54</v>
      </c>
      <c r="G51" s="4">
        <v>50</v>
      </c>
      <c r="H51" s="16" t="s">
        <v>55</v>
      </c>
      <c r="I51" s="3" t="str">
        <f t="shared" si="0"/>
        <v>Chofer Dialisis - Valor : $0</v>
      </c>
      <c r="J51" s="3">
        <v>1</v>
      </c>
    </row>
  </sheetData>
  <sortState ref="A2:F51">
    <sortCondition ref="A2:A51"/>
    <sortCondition ref="B2:B51"/>
    <sortCondition ref="C2:C5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"/>
  <sheetViews>
    <sheetView topLeftCell="A31" zoomScale="130" zoomScaleNormal="130" workbookViewId="0">
      <selection activeCell="G5" sqref="G5"/>
    </sheetView>
  </sheetViews>
  <sheetFormatPr baseColWidth="10" defaultRowHeight="11.25" x14ac:dyDescent="0.2"/>
  <cols>
    <col min="1" max="1" width="6.85546875" style="12" bestFit="1" customWidth="1"/>
    <col min="2" max="2" width="9.5703125" style="12" bestFit="1" customWidth="1"/>
    <col min="3" max="3" width="58" style="12" bestFit="1" customWidth="1"/>
    <col min="4" max="4" width="8.42578125" style="12" bestFit="1" customWidth="1"/>
    <col min="5" max="5" width="6.85546875" style="30" bestFit="1" customWidth="1"/>
    <col min="6" max="16384" width="11.42578125" style="12"/>
  </cols>
  <sheetData>
    <row r="1" spans="1:5" x14ac:dyDescent="0.2">
      <c r="A1" s="31" t="s">
        <v>72</v>
      </c>
      <c r="B1" s="31" t="s">
        <v>75</v>
      </c>
      <c r="C1" s="31" t="s">
        <v>74</v>
      </c>
      <c r="D1" s="31" t="s">
        <v>126</v>
      </c>
      <c r="E1" s="32" t="s">
        <v>125</v>
      </c>
    </row>
    <row r="2" spans="1:5" x14ac:dyDescent="0.2">
      <c r="A2" s="29">
        <v>2025</v>
      </c>
      <c r="B2" s="30">
        <v>1</v>
      </c>
      <c r="C2" s="12" t="s">
        <v>76</v>
      </c>
      <c r="D2" s="12">
        <v>13000</v>
      </c>
      <c r="E2" s="30">
        <v>1</v>
      </c>
    </row>
    <row r="3" spans="1:5" x14ac:dyDescent="0.2">
      <c r="A3" s="29">
        <v>2025</v>
      </c>
      <c r="B3" s="30">
        <v>2</v>
      </c>
      <c r="C3" s="12" t="s">
        <v>77</v>
      </c>
      <c r="D3" s="12">
        <v>15200</v>
      </c>
      <c r="E3" s="30">
        <v>1</v>
      </c>
    </row>
    <row r="4" spans="1:5" x14ac:dyDescent="0.2">
      <c r="A4" s="29">
        <v>2025</v>
      </c>
      <c r="B4" s="30">
        <v>3</v>
      </c>
      <c r="C4" s="12" t="s">
        <v>78</v>
      </c>
      <c r="D4" s="12">
        <v>15100</v>
      </c>
      <c r="E4" s="30">
        <v>1</v>
      </c>
    </row>
    <row r="5" spans="1:5" x14ac:dyDescent="0.2">
      <c r="A5" s="29">
        <v>2025</v>
      </c>
      <c r="B5" s="30">
        <v>4</v>
      </c>
      <c r="C5" s="12" t="s">
        <v>79</v>
      </c>
      <c r="D5" s="12">
        <v>18300</v>
      </c>
      <c r="E5" s="30">
        <v>1</v>
      </c>
    </row>
    <row r="6" spans="1:5" x14ac:dyDescent="0.2">
      <c r="A6" s="29">
        <v>2025</v>
      </c>
      <c r="B6" s="30">
        <v>5</v>
      </c>
      <c r="C6" s="12" t="s">
        <v>80</v>
      </c>
      <c r="D6" s="12">
        <v>6500</v>
      </c>
      <c r="E6" s="30">
        <v>1</v>
      </c>
    </row>
    <row r="7" spans="1:5" x14ac:dyDescent="0.2">
      <c r="A7" s="29">
        <v>2025</v>
      </c>
      <c r="B7" s="30">
        <v>6</v>
      </c>
      <c r="C7" s="12" t="s">
        <v>81</v>
      </c>
      <c r="D7" s="12">
        <v>6900</v>
      </c>
      <c r="E7" s="30">
        <v>1</v>
      </c>
    </row>
    <row r="8" spans="1:5" x14ac:dyDescent="0.2">
      <c r="A8" s="29">
        <v>2025</v>
      </c>
      <c r="B8" s="30">
        <v>7</v>
      </c>
      <c r="C8" s="12" t="s">
        <v>82</v>
      </c>
      <c r="D8" s="12">
        <v>7500</v>
      </c>
      <c r="E8" s="30">
        <v>1</v>
      </c>
    </row>
    <row r="9" spans="1:5" x14ac:dyDescent="0.2">
      <c r="A9" s="29">
        <v>2025</v>
      </c>
      <c r="B9" s="30">
        <v>8</v>
      </c>
      <c r="C9" s="12" t="s">
        <v>83</v>
      </c>
      <c r="D9" s="12">
        <v>8000</v>
      </c>
      <c r="E9" s="30">
        <v>1</v>
      </c>
    </row>
    <row r="10" spans="1:5" x14ac:dyDescent="0.2">
      <c r="A10" s="29">
        <v>2025</v>
      </c>
      <c r="B10" s="30">
        <v>9</v>
      </c>
      <c r="C10" s="12" t="s">
        <v>84</v>
      </c>
      <c r="D10" s="12">
        <v>4500</v>
      </c>
      <c r="E10" s="30">
        <v>1</v>
      </c>
    </row>
    <row r="11" spans="1:5" x14ac:dyDescent="0.2">
      <c r="A11" s="29">
        <v>2025</v>
      </c>
      <c r="B11" s="30">
        <v>10</v>
      </c>
      <c r="C11" s="12" t="s">
        <v>85</v>
      </c>
      <c r="D11" s="12">
        <v>5000</v>
      </c>
      <c r="E11" s="30">
        <v>1</v>
      </c>
    </row>
    <row r="12" spans="1:5" x14ac:dyDescent="0.2">
      <c r="A12" s="29">
        <v>2025</v>
      </c>
      <c r="B12" s="30">
        <v>11</v>
      </c>
      <c r="C12" s="12" t="s">
        <v>86</v>
      </c>
      <c r="D12" s="12">
        <v>5700</v>
      </c>
      <c r="E12" s="30">
        <v>1</v>
      </c>
    </row>
    <row r="13" spans="1:5" x14ac:dyDescent="0.2">
      <c r="A13" s="29">
        <v>2025</v>
      </c>
      <c r="B13" s="30">
        <v>12</v>
      </c>
      <c r="C13" s="12" t="s">
        <v>87</v>
      </c>
      <c r="D13" s="12">
        <v>7200</v>
      </c>
      <c r="E13" s="30">
        <v>1</v>
      </c>
    </row>
    <row r="14" spans="1:5" x14ac:dyDescent="0.2">
      <c r="A14" s="29">
        <v>2025</v>
      </c>
      <c r="B14" s="30">
        <v>13</v>
      </c>
      <c r="C14" s="12" t="s">
        <v>88</v>
      </c>
      <c r="D14" s="12">
        <v>3700</v>
      </c>
      <c r="E14" s="30">
        <v>1</v>
      </c>
    </row>
    <row r="15" spans="1:5" x14ac:dyDescent="0.2">
      <c r="A15" s="29">
        <v>2025</v>
      </c>
      <c r="B15" s="30">
        <v>14</v>
      </c>
      <c r="C15" s="12" t="s">
        <v>89</v>
      </c>
      <c r="D15" s="12">
        <v>4200</v>
      </c>
      <c r="E15" s="30">
        <v>1</v>
      </c>
    </row>
    <row r="16" spans="1:5" x14ac:dyDescent="0.2">
      <c r="A16" s="29">
        <v>2025</v>
      </c>
      <c r="B16" s="30">
        <v>15</v>
      </c>
      <c r="C16" s="12" t="s">
        <v>90</v>
      </c>
      <c r="D16" s="12">
        <v>12000</v>
      </c>
      <c r="E16" s="30">
        <v>1</v>
      </c>
    </row>
    <row r="17" spans="1:5" x14ac:dyDescent="0.2">
      <c r="A17" s="29">
        <v>2025</v>
      </c>
      <c r="B17" s="30">
        <v>16</v>
      </c>
      <c r="C17" s="12" t="s">
        <v>91</v>
      </c>
      <c r="D17" s="12">
        <v>15500</v>
      </c>
      <c r="E17" s="30">
        <v>1</v>
      </c>
    </row>
    <row r="18" spans="1:5" x14ac:dyDescent="0.2">
      <c r="A18" s="29">
        <v>2025</v>
      </c>
      <c r="B18" s="30">
        <v>17</v>
      </c>
      <c r="C18" s="12" t="s">
        <v>92</v>
      </c>
      <c r="D18" s="12">
        <v>20000</v>
      </c>
      <c r="E18" s="30">
        <v>1</v>
      </c>
    </row>
    <row r="19" spans="1:5" x14ac:dyDescent="0.2">
      <c r="A19" s="29">
        <v>2025</v>
      </c>
      <c r="B19" s="30">
        <v>18</v>
      </c>
      <c r="C19" s="12" t="s">
        <v>93</v>
      </c>
      <c r="D19" s="12">
        <v>10000</v>
      </c>
      <c r="E19" s="30">
        <v>1</v>
      </c>
    </row>
    <row r="20" spans="1:5" x14ac:dyDescent="0.2">
      <c r="A20" s="29">
        <v>2025</v>
      </c>
      <c r="B20" s="30">
        <v>19</v>
      </c>
      <c r="C20" s="12" t="s">
        <v>94</v>
      </c>
      <c r="D20" s="12">
        <v>22000</v>
      </c>
      <c r="E20" s="30">
        <v>1</v>
      </c>
    </row>
    <row r="21" spans="1:5" x14ac:dyDescent="0.2">
      <c r="A21" s="29">
        <v>2025</v>
      </c>
      <c r="B21" s="30">
        <v>20</v>
      </c>
      <c r="C21" s="12" t="s">
        <v>95</v>
      </c>
      <c r="D21" s="12">
        <v>20000</v>
      </c>
      <c r="E21" s="30">
        <v>1</v>
      </c>
    </row>
    <row r="22" spans="1:5" x14ac:dyDescent="0.2">
      <c r="A22" s="29">
        <v>2025</v>
      </c>
      <c r="B22" s="30">
        <v>21</v>
      </c>
      <c r="C22" s="12" t="s">
        <v>96</v>
      </c>
      <c r="D22" s="12">
        <v>23000</v>
      </c>
      <c r="E22" s="30">
        <v>1</v>
      </c>
    </row>
    <row r="23" spans="1:5" x14ac:dyDescent="0.2">
      <c r="A23" s="29">
        <v>2025</v>
      </c>
      <c r="B23" s="30">
        <v>22</v>
      </c>
      <c r="C23" s="12" t="s">
        <v>97</v>
      </c>
      <c r="D23" s="12">
        <v>23000</v>
      </c>
      <c r="E23" s="30">
        <v>1</v>
      </c>
    </row>
    <row r="24" spans="1:5" x14ac:dyDescent="0.2">
      <c r="A24" s="29">
        <v>2025</v>
      </c>
      <c r="B24" s="30">
        <v>23</v>
      </c>
      <c r="C24" s="12" t="s">
        <v>98</v>
      </c>
      <c r="D24" s="12">
        <v>28000</v>
      </c>
      <c r="E24" s="30">
        <v>1</v>
      </c>
    </row>
    <row r="25" spans="1:5" x14ac:dyDescent="0.2">
      <c r="A25" s="29">
        <v>2025</v>
      </c>
      <c r="B25" s="30">
        <v>24</v>
      </c>
      <c r="C25" s="12" t="s">
        <v>99</v>
      </c>
      <c r="D25" s="12">
        <v>16000</v>
      </c>
      <c r="E25" s="30">
        <v>1</v>
      </c>
    </row>
    <row r="26" spans="1:5" x14ac:dyDescent="0.2">
      <c r="A26" s="29">
        <v>2025</v>
      </c>
      <c r="B26" s="30">
        <v>25</v>
      </c>
      <c r="C26" s="12" t="s">
        <v>100</v>
      </c>
      <c r="D26" s="12">
        <v>17000</v>
      </c>
      <c r="E26" s="30">
        <v>1</v>
      </c>
    </row>
    <row r="27" spans="1:5" x14ac:dyDescent="0.2">
      <c r="A27" s="29">
        <v>2025</v>
      </c>
      <c r="B27" s="30">
        <v>26</v>
      </c>
      <c r="C27" s="12" t="s">
        <v>101</v>
      </c>
      <c r="D27" s="12">
        <v>17000</v>
      </c>
      <c r="E27" s="30">
        <v>1</v>
      </c>
    </row>
    <row r="28" spans="1:5" x14ac:dyDescent="0.2">
      <c r="A28" s="29">
        <v>2025</v>
      </c>
      <c r="B28" s="30">
        <v>27</v>
      </c>
      <c r="C28" s="12" t="s">
        <v>102</v>
      </c>
      <c r="D28" s="12">
        <v>19000</v>
      </c>
      <c r="E28" s="30">
        <v>1</v>
      </c>
    </row>
    <row r="29" spans="1:5" x14ac:dyDescent="0.2">
      <c r="A29" s="29">
        <v>2025</v>
      </c>
      <c r="B29" s="30">
        <v>28</v>
      </c>
      <c r="C29" s="12" t="s">
        <v>103</v>
      </c>
      <c r="D29" s="12">
        <v>21000</v>
      </c>
      <c r="E29" s="30">
        <v>1</v>
      </c>
    </row>
    <row r="30" spans="1:5" x14ac:dyDescent="0.2">
      <c r="A30" s="29">
        <v>2025</v>
      </c>
      <c r="B30" s="30">
        <v>29</v>
      </c>
      <c r="C30" s="12" t="s">
        <v>104</v>
      </c>
      <c r="D30" s="12">
        <v>22000</v>
      </c>
      <c r="E30" s="30">
        <v>1</v>
      </c>
    </row>
    <row r="31" spans="1:5" x14ac:dyDescent="0.2">
      <c r="A31" s="29">
        <v>2025</v>
      </c>
      <c r="B31" s="30">
        <v>30</v>
      </c>
      <c r="C31" s="12" t="s">
        <v>105</v>
      </c>
      <c r="D31" s="12">
        <v>22000</v>
      </c>
      <c r="E31" s="30">
        <v>1</v>
      </c>
    </row>
    <row r="32" spans="1:5" x14ac:dyDescent="0.2">
      <c r="A32" s="29">
        <v>2025</v>
      </c>
      <c r="B32" s="30">
        <v>31</v>
      </c>
      <c r="C32" s="12" t="s">
        <v>106</v>
      </c>
      <c r="D32" s="12">
        <v>8000</v>
      </c>
      <c r="E32" s="30">
        <v>1</v>
      </c>
    </row>
    <row r="33" spans="1:5" x14ac:dyDescent="0.2">
      <c r="A33" s="29">
        <v>2025</v>
      </c>
      <c r="B33" s="30">
        <v>32</v>
      </c>
      <c r="C33" s="12" t="s">
        <v>107</v>
      </c>
      <c r="D33" s="12">
        <v>5600</v>
      </c>
      <c r="E33" s="30">
        <v>1</v>
      </c>
    </row>
    <row r="34" spans="1:5" x14ac:dyDescent="0.2">
      <c r="A34" s="29">
        <v>2025</v>
      </c>
      <c r="B34" s="30">
        <v>33</v>
      </c>
      <c r="C34" s="12" t="s">
        <v>108</v>
      </c>
      <c r="D34" s="12">
        <v>5500</v>
      </c>
      <c r="E34" s="30">
        <v>1</v>
      </c>
    </row>
    <row r="35" spans="1:5" x14ac:dyDescent="0.2">
      <c r="A35" s="29">
        <v>2025</v>
      </c>
      <c r="B35" s="30">
        <v>34</v>
      </c>
      <c r="C35" s="12" t="s">
        <v>109</v>
      </c>
      <c r="D35" s="12">
        <v>10000</v>
      </c>
      <c r="E35" s="30">
        <v>1</v>
      </c>
    </row>
    <row r="36" spans="1:5" x14ac:dyDescent="0.2">
      <c r="A36" s="29">
        <v>2025</v>
      </c>
      <c r="B36" s="30">
        <v>35</v>
      </c>
      <c r="C36" s="12" t="s">
        <v>110</v>
      </c>
      <c r="D36" s="12">
        <v>6100</v>
      </c>
      <c r="E36" s="30">
        <v>1</v>
      </c>
    </row>
    <row r="37" spans="1:5" x14ac:dyDescent="0.2">
      <c r="A37" s="29">
        <v>2025</v>
      </c>
      <c r="B37" s="30">
        <v>36</v>
      </c>
      <c r="C37" s="12" t="s">
        <v>111</v>
      </c>
      <c r="D37" s="12">
        <v>5900</v>
      </c>
      <c r="E37" s="30">
        <v>1</v>
      </c>
    </row>
    <row r="38" spans="1:5" x14ac:dyDescent="0.2">
      <c r="A38" s="29">
        <v>2025</v>
      </c>
      <c r="B38" s="30">
        <v>37</v>
      </c>
      <c r="C38" s="12" t="s">
        <v>112</v>
      </c>
      <c r="D38" s="12">
        <v>8000</v>
      </c>
      <c r="E38" s="30">
        <v>1</v>
      </c>
    </row>
    <row r="39" spans="1:5" x14ac:dyDescent="0.2">
      <c r="A39" s="29">
        <v>2025</v>
      </c>
      <c r="B39" s="30">
        <v>38</v>
      </c>
      <c r="C39" s="12" t="s">
        <v>113</v>
      </c>
      <c r="D39" s="12">
        <v>9000</v>
      </c>
      <c r="E39" s="30">
        <v>1</v>
      </c>
    </row>
    <row r="40" spans="1:5" x14ac:dyDescent="0.2">
      <c r="A40" s="29">
        <v>2025</v>
      </c>
      <c r="B40" s="30">
        <v>39</v>
      </c>
      <c r="C40" s="12" t="s">
        <v>114</v>
      </c>
      <c r="D40" s="12">
        <v>8100</v>
      </c>
      <c r="E40" s="30">
        <v>1</v>
      </c>
    </row>
    <row r="41" spans="1:5" x14ac:dyDescent="0.2">
      <c r="A41" s="29">
        <v>2025</v>
      </c>
      <c r="B41" s="30">
        <v>40</v>
      </c>
      <c r="C41" s="12" t="s">
        <v>115</v>
      </c>
      <c r="D41" s="12">
        <v>9200</v>
      </c>
      <c r="E41" s="30">
        <v>1</v>
      </c>
    </row>
    <row r="42" spans="1:5" x14ac:dyDescent="0.2">
      <c r="A42" s="29">
        <v>2025</v>
      </c>
      <c r="B42" s="30">
        <v>41</v>
      </c>
      <c r="C42" s="12" t="s">
        <v>116</v>
      </c>
      <c r="D42" s="12">
        <v>6000</v>
      </c>
      <c r="E42" s="30">
        <v>1</v>
      </c>
    </row>
    <row r="43" spans="1:5" x14ac:dyDescent="0.2">
      <c r="A43" s="29">
        <v>2025</v>
      </c>
      <c r="B43" s="30">
        <v>42</v>
      </c>
      <c r="C43" s="12" t="s">
        <v>117</v>
      </c>
      <c r="D43" s="12">
        <v>18000</v>
      </c>
      <c r="E43" s="30">
        <v>1</v>
      </c>
    </row>
    <row r="44" spans="1:5" x14ac:dyDescent="0.2">
      <c r="A44" s="29">
        <v>2025</v>
      </c>
      <c r="B44" s="30">
        <v>43</v>
      </c>
      <c r="C44" s="12" t="s">
        <v>118</v>
      </c>
      <c r="D44" s="12">
        <v>19000</v>
      </c>
      <c r="E44" s="30">
        <v>1</v>
      </c>
    </row>
    <row r="45" spans="1:5" x14ac:dyDescent="0.2">
      <c r="A45" s="29">
        <v>2025</v>
      </c>
      <c r="B45" s="30">
        <v>44</v>
      </c>
      <c r="C45" s="12" t="s">
        <v>119</v>
      </c>
      <c r="D45" s="12">
        <v>22000</v>
      </c>
      <c r="E45" s="30">
        <v>1</v>
      </c>
    </row>
    <row r="46" spans="1:5" x14ac:dyDescent="0.2">
      <c r="A46" s="29">
        <v>2025</v>
      </c>
      <c r="B46" s="30">
        <v>45</v>
      </c>
      <c r="C46" s="12" t="s">
        <v>120</v>
      </c>
      <c r="D46" s="12">
        <v>13200</v>
      </c>
      <c r="E46" s="30">
        <v>1</v>
      </c>
    </row>
    <row r="47" spans="1:5" x14ac:dyDescent="0.2">
      <c r="A47" s="29">
        <v>2025</v>
      </c>
      <c r="B47" s="30">
        <v>46</v>
      </c>
      <c r="C47" s="12" t="s">
        <v>121</v>
      </c>
      <c r="D47" s="12">
        <v>11000</v>
      </c>
      <c r="E47" s="30">
        <v>1</v>
      </c>
    </row>
    <row r="48" spans="1:5" x14ac:dyDescent="0.2">
      <c r="A48" s="29">
        <v>2025</v>
      </c>
      <c r="B48" s="30">
        <v>47</v>
      </c>
      <c r="C48" s="12" t="s">
        <v>122</v>
      </c>
      <c r="D48" s="12">
        <v>15300</v>
      </c>
      <c r="E48" s="30">
        <v>1</v>
      </c>
    </row>
    <row r="49" spans="1:5" x14ac:dyDescent="0.2">
      <c r="A49" s="29">
        <v>2025</v>
      </c>
      <c r="B49" s="30">
        <v>48</v>
      </c>
      <c r="C49" s="12" t="s">
        <v>123</v>
      </c>
      <c r="D49" s="12">
        <v>12100</v>
      </c>
      <c r="E49" s="30">
        <v>1</v>
      </c>
    </row>
    <row r="50" spans="1:5" x14ac:dyDescent="0.2">
      <c r="A50" s="29">
        <v>2025</v>
      </c>
      <c r="B50" s="30">
        <v>49</v>
      </c>
      <c r="C50" s="12" t="s">
        <v>124</v>
      </c>
      <c r="D50" s="12">
        <v>0</v>
      </c>
      <c r="E50" s="30">
        <v>1</v>
      </c>
    </row>
    <row r="51" spans="1:5" x14ac:dyDescent="0.2">
      <c r="A51" s="29">
        <v>2025</v>
      </c>
      <c r="B51" s="30">
        <v>50</v>
      </c>
      <c r="C51" s="12" t="s">
        <v>124</v>
      </c>
      <c r="D51" s="12">
        <v>0</v>
      </c>
      <c r="E51" s="30"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ValorHora</vt:lpstr>
      <vt:lpstr>Hoja3</vt:lpstr>
      <vt:lpstr>Hoja4</vt:lpstr>
      <vt:lpstr>Hoja5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Castillo</dc:creator>
  <cp:lastModifiedBy>Pepe Luna</cp:lastModifiedBy>
  <dcterms:created xsi:type="dcterms:W3CDTF">2026-04-16T14:02:20Z</dcterms:created>
  <dcterms:modified xsi:type="dcterms:W3CDTF">2026-05-14T17:20:53Z</dcterms:modified>
</cp:coreProperties>
</file>